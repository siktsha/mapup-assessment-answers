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ree\Desktop\"/>
    </mc:Choice>
  </mc:AlternateContent>
  <xr:revisionPtr revIDLastSave="0" documentId="13_ncr:1_{6C8BF871-99BB-419D-9B66-2B9D8F66B02C}" xr6:coauthVersionLast="47" xr6:coauthVersionMax="47" xr10:uidLastSave="{00000000-0000-0000-0000-000000000000}"/>
  <bookViews>
    <workbookView xWindow="-98" yWindow="-98" windowWidth="21795" windowHeight="12975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30" i="18"/>
  <c r="F29" i="18"/>
  <c r="F28" i="18"/>
  <c r="C29" i="18"/>
  <c r="C30" i="18" s="1"/>
  <c r="C28" i="18"/>
  <c r="B30" i="18"/>
  <c r="B29" i="18"/>
  <c r="B28" i="18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2" i="1"/>
</calcChain>
</file>

<file path=xl/sharedStrings.xml><?xml version="1.0" encoding="utf-8"?>
<sst xmlns="http://schemas.openxmlformats.org/spreadsheetml/2006/main" count="334" uniqueCount="182">
  <si>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</si>
  <si>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</si>
  <si>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</si>
  <si>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</si>
  <si>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</si>
  <si>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</si>
  <si>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</si>
  <si>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</si>
  <si>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</si>
  <si>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</si>
  <si>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</si>
  <si>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</si>
  <si>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</si>
  <si>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</si>
  <si>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</si>
  <si>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</si>
  <si>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</si>
  <si>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</si>
  <si>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</si>
  <si>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</si>
  <si>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</si>
  <si>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</si>
  <si>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</si>
  <si>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</si>
  <si>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</si>
  <si>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</si>
  <si>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</si>
  <si>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</si>
  <si>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</si>
  <si>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</si>
  <si>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</si>
  <si>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</si>
  <si>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</si>
  <si>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</si>
  <si>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</si>
  <si>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</si>
  <si>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</si>
  <si>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</si>
  <si>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</si>
  <si>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</si>
  <si>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</si>
  <si>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</si>
  <si>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</si>
  <si>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</si>
  <si>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</si>
  <si>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</si>
  <si>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</si>
  <si>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</si>
  <si>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</si>
  <si>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</si>
  <si>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</si>
  <si>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</si>
  <si>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</si>
  <si>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</si>
  <si>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</si>
  <si>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</si>
  <si>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</si>
  <si>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</si>
  <si>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</si>
  <si>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</si>
  <si>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</si>
  <si>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</si>
  <si>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</si>
  <si>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</si>
  <si>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</si>
  <si>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</si>
  <si>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</si>
  <si>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</si>
  <si>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</si>
  <si>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</si>
  <si>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</si>
  <si>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</si>
  <si>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</si>
  <si>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</si>
  <si>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</si>
  <si>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</si>
  <si>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</si>
  <si>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</si>
  <si>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</si>
  <si>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</si>
  <si>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</si>
  <si>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</si>
  <si>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</si>
  <si>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</si>
  <si>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</si>
  <si>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</si>
  <si>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</si>
  <si>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</si>
  <si>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</si>
  <si>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</si>
  <si>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</si>
  <si>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</si>
  <si>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</si>
  <si>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</si>
  <si>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</si>
  <si>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</si>
  <si>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</si>
  <si>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</si>
  <si>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</si>
  <si>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</si>
  <si>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</si>
  <si>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</si>
  <si>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</si>
  <si>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</si>
  <si>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</si>
  <si>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</si>
  <si>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</si>
  <si>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</si>
  <si>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</si>
  <si>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</si>
  <si>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</si>
  <si>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</si>
  <si>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</si>
  <si>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</si>
  <si>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</si>
  <si>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</si>
  <si>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</si>
  <si>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</si>
  <si>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</si>
  <si>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</si>
  <si>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</si>
  <si>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</si>
  <si>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</si>
  <si>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</si>
  <si>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</si>
  <si>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</si>
  <si>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</si>
  <si>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</si>
  <si>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</si>
  <si>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</si>
  <si>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</si>
  <si>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</si>
  <si>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</si>
  <si>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</si>
  <si>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</si>
  <si>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</si>
  <si>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</si>
  <si>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</si>
  <si>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</si>
  <si>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</si>
  <si>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</si>
  <si>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</si>
  <si>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</si>
  <si>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</si>
  <si>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</si>
  <si>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</si>
  <si>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</si>
  <si>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</si>
  <si>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</si>
  <si>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</si>
  <si>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</si>
  <si>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</si>
  <si>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</si>
  <si>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</si>
  <si>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</si>
  <si>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</si>
  <si>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</si>
  <si>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</si>
  <si>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</si>
  <si>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</si>
  <si>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</si>
  <si>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</si>
  <si>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</si>
  <si>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</si>
  <si>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</si>
  <si>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</si>
  <si>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</si>
  <si>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</si>
  <si>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</si>
  <si>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</si>
  <si>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</si>
  <si>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</si>
  <si>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</si>
  <si>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</si>
  <si>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</si>
  <si>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</si>
  <si>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</si>
  <si>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</si>
  <si>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Running Total</t>
  </si>
  <si>
    <t>Count</t>
  </si>
  <si>
    <t>sum of H car 2</t>
  </si>
  <si>
    <t>SUMIF(H:H, 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</si>
</sst>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15" x14ac:dyDescent="0.4"/>
  <cols>
    <col min="1" max="1" width="70.78515625" style="2" bestFit="1" customWidth="1"/>
    <col min="2" max="16384" width="11" style="2"/>
  </cols>
  <sheetData>
    <row r="1" spans="1:3" ht="18" x14ac:dyDescent="0.55000000000000004">
      <c r="A1" s="37" t="s">
        <v>109</v>
      </c>
    </row>
    <row r="2" spans="1:3" x14ac:dyDescent="0.4">
      <c r="A2" s="2" t="s">
        <v>110</v>
      </c>
    </row>
    <row r="3" spans="1:3" x14ac:dyDescent="0.4">
      <c r="A3" s="2" t="s">
        <v>111</v>
      </c>
    </row>
    <row r="4" spans="1:3" ht="14.25" x14ac:dyDescent="0.45">
      <c r="A4" s="2" t="s">
        <v>177</v>
      </c>
      <c r="C4" s="1"/>
    </row>
    <row r="5" spans="1:3" x14ac:dyDescent="0.4">
      <c r="A5" s="2" t="s">
        <v>152</v>
      </c>
    </row>
    <row r="8" spans="1:3" x14ac:dyDescent="0.4">
      <c r="A8" s="2" t="s">
        <v>173</v>
      </c>
    </row>
    <row r="9" spans="1:3" x14ac:dyDescent="0.4">
      <c r="A9" s="34" t="s">
        <v>171</v>
      </c>
      <c r="B9" s="25" t="s">
        <v>169</v>
      </c>
    </row>
    <row r="10" spans="1:3" x14ac:dyDescent="0.4">
      <c r="A10" s="33" t="s">
        <v>172</v>
      </c>
      <c r="B10" s="35">
        <v>25</v>
      </c>
    </row>
    <row r="11" spans="1:3" x14ac:dyDescent="0.4">
      <c r="A11" s="33" t="s">
        <v>55</v>
      </c>
      <c r="B11" s="35">
        <v>30</v>
      </c>
    </row>
    <row r="12" spans="1:3" x14ac:dyDescent="0.4">
      <c r="A12" s="33" t="s">
        <v>56</v>
      </c>
      <c r="B12" s="35">
        <v>10</v>
      </c>
    </row>
    <row r="13" spans="1:3" x14ac:dyDescent="0.4">
      <c r="A13" s="33" t="s">
        <v>85</v>
      </c>
      <c r="B13" s="35">
        <v>20</v>
      </c>
    </row>
    <row r="14" spans="1:3" x14ac:dyDescent="0.4">
      <c r="A14" s="33" t="s">
        <v>98</v>
      </c>
      <c r="B14" s="35">
        <v>40</v>
      </c>
    </row>
    <row r="15" spans="1:3" x14ac:dyDescent="0.4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N1" zoomScaleNormal="100" workbookViewId="0">
      <pane ySplit="1" topLeftCell="A2" activePane="bottomLeft" state="frozen"/>
      <selection activeCell="N1" sqref="N1"/>
      <selection pane="bottomLeft" activeCell="G2" sqref="G2:G21"/>
    </sheetView>
  </sheetViews>
  <sheetFormatPr defaultColWidth="9" defaultRowHeight="14.25" x14ac:dyDescent="0.45"/>
  <cols>
    <col min="1" max="1" width="25.42578125" style="1" bestFit="1" customWidth="1"/>
    <col min="2" max="2" width="7.42578125" style="1" bestFit="1" customWidth="1"/>
    <col min="3" max="3" width="9.78515625" style="1" bestFit="1" customWidth="1"/>
    <col min="4" max="4" width="11" style="23" customWidth="1"/>
    <col min="5" max="5" width="9.2109375" style="1" bestFit="1" customWidth="1"/>
    <col min="6" max="6" width="10.42578125" style="23" bestFit="1" customWidth="1"/>
    <col min="7" max="7" width="12.78515625" style="1" bestFit="1" customWidth="1"/>
    <col min="8" max="8" width="12.92578125" style="1" customWidth="1"/>
    <col min="9" max="9" width="12.78515625" style="1" bestFit="1" customWidth="1"/>
    <col min="10" max="12" width="13" style="1" bestFit="1" customWidth="1"/>
    <col min="13" max="15" width="14.2109375" style="1" bestFit="1" customWidth="1"/>
    <col min="16" max="18" width="14.42578125" style="1" bestFit="1" customWidth="1"/>
    <col min="19" max="20" width="18.78515625" style="1" bestFit="1" customWidth="1"/>
    <col min="21" max="23" width="19" style="1" bestFit="1" customWidth="1"/>
    <col min="24" max="24" width="12.5703125" style="1" bestFit="1" customWidth="1"/>
    <col min="25" max="16384" width="9" style="1"/>
  </cols>
  <sheetData>
    <row r="1" spans="1:25" s="3" customFormat="1" ht="14.75" customHeight="1" x14ac:dyDescent="0.4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  <c r="Y1" s="3" t="s">
        <v>180</v>
      </c>
    </row>
    <row r="2" spans="1:25" x14ac:dyDescent="0.4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  <c r="Y2" s="1" t="b">
        <f>Task_1!D5=SUMIF(H:H, "&gt;20")</f>
        <v>0</v>
      </c>
    </row>
    <row r="3" spans="1:25" x14ac:dyDescent="0.4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5" x14ac:dyDescent="0.4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5" x14ac:dyDescent="0.4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5" x14ac:dyDescent="0.4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5" x14ac:dyDescent="0.4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5" x14ac:dyDescent="0.4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5" x14ac:dyDescent="0.4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5" x14ac:dyDescent="0.4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5" x14ac:dyDescent="0.4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5" x14ac:dyDescent="0.4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5" x14ac:dyDescent="0.4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5" x14ac:dyDescent="0.4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5" x14ac:dyDescent="0.4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5" x14ac:dyDescent="0.4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4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4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4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4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4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4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4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4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4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4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4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4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4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4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4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4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4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4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4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4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4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4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4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4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J2:L40">
    <cfRule type="cellIs" dxfId="4" priority="4" operator="equal">
      <formula>1</formula>
    </cfRule>
    <cfRule type="cellIs" dxfId="3" priority="5" operator="equal">
      <formula>-1</formula>
    </cfRule>
  </conditionalFormatting>
  <conditionalFormatting sqref="A1:X40">
    <cfRule type="cellIs" dxfId="2" priority="2" operator="equal">
      <formula>1</formula>
    </cfRule>
    <cfRule type="cellIs" dxfId="1" priority="3" operator="equal">
      <formula>-1</formula>
    </cfRule>
  </conditionalFormatting>
  <conditionalFormatting sqref="G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25" x14ac:dyDescent="0.45"/>
  <cols>
    <col min="1" max="1" width="8.42578125" style="1" bestFit="1" customWidth="1"/>
    <col min="2" max="2" width="65.78515625" style="1" bestFit="1" customWidth="1"/>
    <col min="3" max="3" width="27.5703125" style="1" bestFit="1" customWidth="1"/>
    <col min="4" max="4" width="17.92578125" style="1" customWidth="1"/>
    <col min="5" max="5" width="14.42578125" style="1" bestFit="1" customWidth="1"/>
    <col min="6" max="16384" width="11" style="1"/>
  </cols>
  <sheetData>
    <row r="1" spans="1:5" x14ac:dyDescent="0.4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45">
      <c r="A2" s="2"/>
      <c r="B2" s="5" t="s">
        <v>160</v>
      </c>
      <c r="C2" s="2"/>
    </row>
    <row r="3" spans="1:5" x14ac:dyDescent="0.4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45">
      <c r="A4" s="6">
        <v>2</v>
      </c>
      <c r="B4" s="2" t="s">
        <v>46</v>
      </c>
      <c r="C4" s="2"/>
      <c r="E4" s="1">
        <v>5</v>
      </c>
    </row>
    <row r="5" spans="1:5" x14ac:dyDescent="0.45">
      <c r="A5" s="6">
        <v>3</v>
      </c>
      <c r="B5" s="2" t="s">
        <v>104</v>
      </c>
      <c r="C5" s="32" t="s">
        <v>105</v>
      </c>
      <c r="D5" s="1" t="s">
        <v>181</v>
      </c>
      <c r="E5" s="1">
        <v>10</v>
      </c>
    </row>
    <row r="6" spans="1:5" x14ac:dyDescent="0.45">
      <c r="A6" s="6">
        <v>4</v>
      </c>
      <c r="B6" s="2" t="s">
        <v>107</v>
      </c>
      <c r="C6" s="2"/>
      <c r="E6" s="1">
        <v>5</v>
      </c>
    </row>
    <row r="7" spans="1:5" x14ac:dyDescent="0.45">
      <c r="A7" s="2"/>
      <c r="B7" s="2"/>
      <c r="C7" s="2"/>
    </row>
    <row r="13" spans="1:5" x14ac:dyDescent="0.45">
      <c r="E13" s="2"/>
    </row>
    <row r="14" spans="1:5" x14ac:dyDescent="0.4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F31" sqref="F31"/>
    </sheetView>
  </sheetViews>
  <sheetFormatPr defaultColWidth="11" defaultRowHeight="13.15" x14ac:dyDescent="0.4"/>
  <cols>
    <col min="1" max="1" width="18.5703125" style="2" bestFit="1" customWidth="1"/>
    <col min="2" max="6" width="15.42578125" style="2" customWidth="1"/>
    <col min="7" max="7" width="11" style="2"/>
    <col min="8" max="8" width="14.42578125" style="2" bestFit="1" customWidth="1"/>
    <col min="9" max="16384" width="11" style="2"/>
  </cols>
  <sheetData>
    <row r="1" spans="1:7" s="39" customFormat="1" ht="21" x14ac:dyDescent="0.65">
      <c r="A1" s="40" t="s">
        <v>55</v>
      </c>
      <c r="B1" s="39" t="s">
        <v>164</v>
      </c>
    </row>
    <row r="2" spans="1:7" s="39" customFormat="1" ht="21" x14ac:dyDescent="0.65">
      <c r="B2" s="39" t="s">
        <v>161</v>
      </c>
    </row>
    <row r="3" spans="1:7" ht="14.25" x14ac:dyDescent="0.45">
      <c r="A3" s="1"/>
      <c r="B3" s="1"/>
      <c r="C3" s="1"/>
      <c r="D3" s="1"/>
      <c r="E3" s="1"/>
      <c r="F3" s="1"/>
      <c r="G3" s="1"/>
    </row>
    <row r="4" spans="1:7" ht="23.25" x14ac:dyDescent="0.7">
      <c r="A4" s="17" t="s">
        <v>162</v>
      </c>
      <c r="B4" s="1"/>
      <c r="C4" s="1"/>
      <c r="D4" s="1"/>
      <c r="E4" s="1"/>
      <c r="F4" s="1"/>
      <c r="G4" s="1"/>
    </row>
    <row r="5" spans="1:7" ht="14.25" x14ac:dyDescent="0.4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25" x14ac:dyDescent="0.45">
      <c r="A6" s="7" t="s">
        <v>40</v>
      </c>
      <c r="B6" s="11">
        <f>VLOOKUP(A6, Dataset!$A$2:$F$100, 2, FALSE)</f>
        <v>20000</v>
      </c>
      <c r="C6" s="11" t="str">
        <f>VLOOKUP(A6, Dataset!$A$2:$F$100, 3, FALSE)</f>
        <v>Monday</v>
      </c>
      <c r="D6" s="11" t="str">
        <f>E6</f>
        <v>Monday</v>
      </c>
      <c r="E6" s="11" t="str">
        <f>VLOOKUP(A6, Dataset!$A$2:$F$100, 3, FALSE)</f>
        <v>Monday</v>
      </c>
      <c r="F6" s="8">
        <f>VLOOKUP(A6, Dataset!$A$2:$F$100, 2, FALSE)</f>
        <v>20000</v>
      </c>
    </row>
    <row r="7" spans="1:7" ht="14.25" x14ac:dyDescent="0.45">
      <c r="A7" s="7" t="s">
        <v>4</v>
      </c>
      <c r="B7" s="11">
        <f>VLOOKUP(A7, Dataset!$A$2:$F$100, 2, FALSE)</f>
        <v>20002</v>
      </c>
      <c r="C7" s="11" t="str">
        <f>VLOOKUP(A7, Dataset!$A$2:$F$100, 3, FALSE)</f>
        <v>Monday</v>
      </c>
      <c r="D7" s="11" t="str">
        <f>VLOOKUP(A7, Dataset!$A$2:$F$100, 3, FALSE)</f>
        <v>Monday</v>
      </c>
      <c r="E7" s="11" t="str">
        <f>VLOOKUP(A7, Dataset!$A$2:$F$100, 3, FALSE)</f>
        <v>Monday</v>
      </c>
      <c r="F7" s="8">
        <f>VLOOKUP(A7, Dataset!$A$2:$F$100, 2, FALSE)</f>
        <v>20002</v>
      </c>
    </row>
    <row r="8" spans="1:7" ht="14.25" x14ac:dyDescent="0.45">
      <c r="A8" s="7" t="s">
        <v>7</v>
      </c>
      <c r="B8" s="11">
        <f>VLOOKUP(A8, Dataset!$A$2:$F$100, 2, FALSE)</f>
        <v>20004</v>
      </c>
      <c r="C8" s="11" t="str">
        <f>VLOOKUP(A8, Dataset!$A$2:$F$100, 3, FALSE)</f>
        <v>Monday</v>
      </c>
      <c r="D8" s="11" t="str">
        <f>VLOOKUP(A8, Dataset!$A$2:$F$100, 3, FALSE)</f>
        <v>Monday</v>
      </c>
      <c r="E8" s="11" t="str">
        <f>VLOOKUP(A8, Dataset!$A$2:$F$100, 3, FALSE)</f>
        <v>Monday</v>
      </c>
      <c r="F8" s="8">
        <f>VLOOKUP(A8, Dataset!$A$2:$F$100, 2, FALSE)</f>
        <v>20004</v>
      </c>
    </row>
    <row r="9" spans="1:7" ht="14.25" x14ac:dyDescent="0.45">
      <c r="A9" s="7" t="s">
        <v>8</v>
      </c>
      <c r="B9" s="11">
        <f>VLOOKUP(A9, Dataset!$A$2:$F$100, 2, FALSE)</f>
        <v>20006</v>
      </c>
      <c r="C9" s="11" t="str">
        <f>VLOOKUP(A9, Dataset!$A$2:$F$100, 3, FALSE)</f>
        <v>Monday</v>
      </c>
      <c r="D9" s="11" t="str">
        <f>VLOOKUP(A9, Dataset!$A$2:$F$100, 3, FALSE)</f>
        <v>Monday</v>
      </c>
      <c r="E9" s="11" t="str">
        <f>VLOOKUP(A9, Dataset!$A$2:$F$100, 3, FALSE)</f>
        <v>Monday</v>
      </c>
      <c r="F9" s="8">
        <f>VLOOKUP(A9, Dataset!$A$2:$F$100, 2, FALSE)</f>
        <v>20006</v>
      </c>
    </row>
    <row r="10" spans="1:7" ht="14.25" x14ac:dyDescent="0.45">
      <c r="A10" s="7" t="s">
        <v>11</v>
      </c>
      <c r="B10" s="11">
        <f>VLOOKUP(A10, Dataset!$A$2:$F$100, 2, FALSE)</f>
        <v>20012</v>
      </c>
      <c r="C10" s="11" t="str">
        <f>VLOOKUP(A10, Dataset!$A$2:$F$100, 3, FALSE)</f>
        <v>Monday</v>
      </c>
      <c r="D10" s="11" t="str">
        <f>VLOOKUP(A10, Dataset!$A$2:$F$100, 3, FALSE)</f>
        <v>Monday</v>
      </c>
      <c r="E10" s="11" t="str">
        <f>VLOOKUP(A10, Dataset!$A$2:$F$100, 3, FALSE)</f>
        <v>Monday</v>
      </c>
      <c r="F10" s="8">
        <f>VLOOKUP(A10, Dataset!$A$2:$F$100, 2, FALSE)</f>
        <v>20012</v>
      </c>
    </row>
    <row r="11" spans="1:7" ht="14.25" x14ac:dyDescent="0.45">
      <c r="A11" s="7" t="s">
        <v>12</v>
      </c>
      <c r="B11" s="11">
        <f>VLOOKUP(A11, Dataset!$A$2:$F$100, 2, FALSE)</f>
        <v>20014</v>
      </c>
      <c r="C11" s="11" t="str">
        <f>VLOOKUP(A11, Dataset!$A$2:$F$100, 3, FALSE)</f>
        <v>Monday</v>
      </c>
      <c r="D11" s="11" t="str">
        <f>VLOOKUP(A11, Dataset!$A$2:$F$100, 3, FALSE)</f>
        <v>Monday</v>
      </c>
      <c r="E11" s="11" t="str">
        <f>VLOOKUP(A11, Dataset!$A$2:$F$100, 3, FALSE)</f>
        <v>Monday</v>
      </c>
      <c r="F11" s="8">
        <f>VLOOKUP(A11, Dataset!$A$2:$F$100, 2, FALSE)</f>
        <v>20014</v>
      </c>
    </row>
    <row r="12" spans="1:7" ht="14.25" x14ac:dyDescent="0.45">
      <c r="A12" s="7" t="s">
        <v>14</v>
      </c>
      <c r="B12" s="11">
        <f>VLOOKUP(A12, Dataset!$A$2:$F$100, 2, FALSE)</f>
        <v>20018</v>
      </c>
      <c r="C12" s="11" t="str">
        <f>VLOOKUP(A12, Dataset!$A$2:$F$100, 3, FALSE)</f>
        <v>Monday</v>
      </c>
      <c r="D12" s="11" t="str">
        <f>VLOOKUP(A12, Dataset!$A$2:$F$100, 3, FALSE)</f>
        <v>Monday</v>
      </c>
      <c r="E12" s="11" t="str">
        <f>VLOOKUP(A12, Dataset!$A$2:$F$100, 3, FALSE)</f>
        <v>Monday</v>
      </c>
      <c r="F12" s="8">
        <f>VLOOKUP(A12, Dataset!$A$2:$F$100, 2, FALSE)</f>
        <v>20018</v>
      </c>
    </row>
    <row r="13" spans="1:7" ht="14.25" x14ac:dyDescent="0.45">
      <c r="A13" s="7" t="s">
        <v>15</v>
      </c>
      <c r="B13" s="11">
        <f>VLOOKUP(A13, Dataset!$A$2:$F$100, 2, FALSE)</f>
        <v>20020</v>
      </c>
      <c r="C13" s="11" t="str">
        <f>VLOOKUP(A13, Dataset!$A$2:$F$100, 3, FALSE)</f>
        <v>Monday</v>
      </c>
      <c r="D13" s="11" t="str">
        <f>VLOOKUP(A13, Dataset!$A$2:$F$100, 3, FALSE)</f>
        <v>Monday</v>
      </c>
      <c r="E13" s="11" t="str">
        <f>VLOOKUP(A13, Dataset!$A$2:$F$100, 3, FALSE)</f>
        <v>Monday</v>
      </c>
      <c r="F13" s="8">
        <f>VLOOKUP(A13, Dataset!$A$2:$F$100, 2, FALSE)</f>
        <v>20020</v>
      </c>
    </row>
    <row r="14" spans="1:7" ht="14.25" x14ac:dyDescent="0.45">
      <c r="A14" s="7" t="s">
        <v>16</v>
      </c>
      <c r="B14" s="11">
        <f>VLOOKUP(A14, Dataset!$A$2:$F$100, 2, FALSE)</f>
        <v>20022</v>
      </c>
      <c r="C14" s="11" t="str">
        <f>VLOOKUP(A14, Dataset!$A$2:$F$100, 3, FALSE)</f>
        <v>Monday</v>
      </c>
      <c r="D14" s="11" t="str">
        <f>VLOOKUP(A14, Dataset!$A$2:$F$100, 3, FALSE)</f>
        <v>Monday</v>
      </c>
      <c r="E14" s="11" t="str">
        <f>VLOOKUP(A14, Dataset!$A$2:$F$100, 3, FALSE)</f>
        <v>Monday</v>
      </c>
      <c r="F14" s="8">
        <f>VLOOKUP(A14, Dataset!$A$2:$F$100, 2, FALSE)</f>
        <v>20022</v>
      </c>
    </row>
    <row r="15" spans="1:7" ht="14.25" x14ac:dyDescent="0.45">
      <c r="A15" s="7" t="s">
        <v>18</v>
      </c>
      <c r="B15" s="11">
        <f>VLOOKUP(A15, Dataset!$A$2:$F$100, 2, FALSE)</f>
        <v>20026</v>
      </c>
      <c r="C15" s="11" t="str">
        <f>VLOOKUP(A15, Dataset!$A$2:$F$100, 3, FALSE)</f>
        <v>Monday</v>
      </c>
      <c r="D15" s="11" t="str">
        <f>VLOOKUP(A15, Dataset!$A$2:$F$100, 3, FALSE)</f>
        <v>Monday</v>
      </c>
      <c r="E15" s="11" t="str">
        <f>VLOOKUP(A15, Dataset!$A$2:$F$100, 3, FALSE)</f>
        <v>Monday</v>
      </c>
      <c r="F15" s="8">
        <f>VLOOKUP(A15, Dataset!$A$2:$F$100, 2, FALSE)</f>
        <v>20026</v>
      </c>
    </row>
    <row r="16" spans="1:7" ht="14.25" x14ac:dyDescent="0.45">
      <c r="A16" s="7" t="s">
        <v>20</v>
      </c>
      <c r="B16" s="11">
        <f>VLOOKUP(A16, Dataset!$A$2:$F$100, 2, FALSE)</f>
        <v>20030</v>
      </c>
      <c r="C16" s="11" t="str">
        <f>VLOOKUP(A16, Dataset!$A$2:$F$100, 3, FALSE)</f>
        <v>Monday</v>
      </c>
      <c r="D16" s="11" t="str">
        <f>VLOOKUP(A16, Dataset!$A$2:$F$100, 3, FALSE)</f>
        <v>Monday</v>
      </c>
      <c r="E16" s="11" t="str">
        <f>VLOOKUP(A16, Dataset!$A$2:$F$100, 3, FALSE)</f>
        <v>Monday</v>
      </c>
      <c r="F16" s="8">
        <f>VLOOKUP(A16, Dataset!$A$2:$F$100, 2, FALSE)</f>
        <v>20030</v>
      </c>
    </row>
    <row r="17" spans="1:6" ht="14.25" x14ac:dyDescent="0.45">
      <c r="A17" s="7" t="s">
        <v>22</v>
      </c>
      <c r="B17" s="11">
        <f>VLOOKUP(A17, Dataset!$A$2:$F$100, 2, FALSE)</f>
        <v>20034</v>
      </c>
      <c r="C17" s="11" t="str">
        <f>VLOOKUP(A17, Dataset!$A$2:$F$100, 3, FALSE)</f>
        <v>Monday</v>
      </c>
      <c r="D17" s="11" t="str">
        <f>VLOOKUP(A17, Dataset!$A$2:$F$100, 3, FALSE)</f>
        <v>Monday</v>
      </c>
      <c r="E17" s="11" t="str">
        <f>VLOOKUP(A17, Dataset!$A$2:$F$100, 3, FALSE)</f>
        <v>Monday</v>
      </c>
      <c r="F17" s="8">
        <f>VLOOKUP(A17, Dataset!$A$2:$F$100, 2, FALSE)</f>
        <v>20034</v>
      </c>
    </row>
    <row r="18" spans="1:6" ht="14.25" x14ac:dyDescent="0.45">
      <c r="A18" s="7" t="s">
        <v>23</v>
      </c>
      <c r="B18" s="11">
        <f>VLOOKUP(A18, Dataset!$A$2:$F$100, 2, FALSE)</f>
        <v>20036</v>
      </c>
      <c r="C18" s="11" t="str">
        <f>VLOOKUP(A18, Dataset!$A$2:$F$100, 3, FALSE)</f>
        <v>Monday</v>
      </c>
      <c r="D18" s="11" t="str">
        <f>VLOOKUP(A18, Dataset!$A$2:$F$100, 3, FALSE)</f>
        <v>Monday</v>
      </c>
      <c r="E18" s="11" t="str">
        <f>VLOOKUP(A18, Dataset!$A$2:$F$100, 3, FALSE)</f>
        <v>Monday</v>
      </c>
      <c r="F18" s="8">
        <f>VLOOKUP(A18, Dataset!$A$2:$F$100, 2, FALSE)</f>
        <v>20036</v>
      </c>
    </row>
    <row r="19" spans="1:6" ht="14.25" x14ac:dyDescent="0.45">
      <c r="A19" s="7" t="s">
        <v>24</v>
      </c>
      <c r="B19" s="11">
        <f>VLOOKUP(A19, Dataset!$A$2:$F$100, 2, FALSE)</f>
        <v>20038</v>
      </c>
      <c r="C19" s="11" t="str">
        <f>VLOOKUP(A19, Dataset!$A$2:$F$100, 3, FALSE)</f>
        <v>Monday</v>
      </c>
      <c r="D19" s="11" t="str">
        <f>VLOOKUP(A19, Dataset!$A$2:$F$100, 3, FALSE)</f>
        <v>Monday</v>
      </c>
      <c r="E19" s="11" t="str">
        <f>VLOOKUP(A19, Dataset!$A$2:$F$100, 3, FALSE)</f>
        <v>Monday</v>
      </c>
      <c r="F19" s="8">
        <f>VLOOKUP(A19, Dataset!$A$2:$F$100, 2, FALSE)</f>
        <v>20038</v>
      </c>
    </row>
    <row r="20" spans="1:6" ht="14.25" x14ac:dyDescent="0.45">
      <c r="A20" s="7" t="s">
        <v>28</v>
      </c>
      <c r="B20" s="11">
        <f>VLOOKUP(A20, Dataset!$A$2:$F$100, 2, FALSE)</f>
        <v>20048</v>
      </c>
      <c r="C20" s="11" t="str">
        <f>VLOOKUP(A20, Dataset!$A$2:$F$100, 3, FALSE)</f>
        <v>Monday</v>
      </c>
      <c r="D20" s="11" t="str">
        <f>VLOOKUP(A20, Dataset!$A$2:$F$100, 3, FALSE)</f>
        <v>Monday</v>
      </c>
      <c r="E20" s="11" t="str">
        <f>VLOOKUP(A20, Dataset!$A$2:$F$100, 3, FALSE)</f>
        <v>Monday</v>
      </c>
      <c r="F20" s="8">
        <f>VLOOKUP(A20, Dataset!$A$2:$F$100, 2, FALSE)</f>
        <v>20048</v>
      </c>
    </row>
    <row r="21" spans="1:6" ht="14.25" x14ac:dyDescent="0.45">
      <c r="A21" s="7" t="s">
        <v>57</v>
      </c>
      <c r="B21" s="11">
        <f>VLOOKUP(A21, Dataset!$A$2:$F$100, 2, FALSE)</f>
        <v>20050</v>
      </c>
      <c r="C21" s="11" t="str">
        <f>VLOOKUP(A21, Dataset!$A$2:$F$100, 3, FALSE)</f>
        <v>Monday</v>
      </c>
      <c r="D21" s="11" t="str">
        <f>VLOOKUP(A21, Dataset!$A$2:$F$100, 3, FALSE)</f>
        <v>Monday</v>
      </c>
      <c r="E21" s="11" t="str">
        <f>VLOOKUP(A21, Dataset!$A$2:$F$100, 3, FALSE)</f>
        <v>Monday</v>
      </c>
      <c r="F21" s="8">
        <f>VLOOKUP(A21, Dataset!$A$2:$F$100, 2, FALSE)</f>
        <v>20050</v>
      </c>
    </row>
    <row r="22" spans="1:6" ht="14.25" x14ac:dyDescent="0.45">
      <c r="A22" s="7" t="s">
        <v>58</v>
      </c>
      <c r="B22" s="11">
        <f>VLOOKUP(A22, Dataset!$A$2:$F$100, 2, FALSE)</f>
        <v>20058</v>
      </c>
      <c r="C22" s="11" t="str">
        <f>VLOOKUP(A22, Dataset!$A$2:$F$100, 3, FALSE)</f>
        <v>Monday</v>
      </c>
      <c r="D22" s="11" t="str">
        <f>VLOOKUP(A22, Dataset!$A$2:$F$100, 3, FALSE)</f>
        <v>Monday</v>
      </c>
      <c r="E22" s="11" t="str">
        <f>VLOOKUP(A22, Dataset!$A$2:$F$100, 3, FALSE)</f>
        <v>Monday</v>
      </c>
      <c r="F22" s="8">
        <f>VLOOKUP(A22, Dataset!$A$2:$F$100, 2, FALSE)</f>
        <v>20058</v>
      </c>
    </row>
    <row r="23" spans="1:6" ht="14.25" x14ac:dyDescent="0.45">
      <c r="A23" s="7" t="s">
        <v>31</v>
      </c>
      <c r="B23" s="11">
        <f>VLOOKUP(A23, Dataset!$A$2:$F$100, 2, FALSE)</f>
        <v>20060</v>
      </c>
      <c r="C23" s="11" t="str">
        <f>VLOOKUP(A23, Dataset!$A$2:$F$100, 3, FALSE)</f>
        <v>Monday</v>
      </c>
      <c r="D23" s="11" t="str">
        <f>VLOOKUP(A23, Dataset!$A$2:$F$100, 3, FALSE)</f>
        <v>Monday</v>
      </c>
      <c r="E23" s="11" t="str">
        <f>VLOOKUP(A23, Dataset!$A$2:$F$100, 3, FALSE)</f>
        <v>Monday</v>
      </c>
      <c r="F23" s="8">
        <f>VLOOKUP(A23, Dataset!$A$2:$F$100, 2, FALSE)</f>
        <v>20060</v>
      </c>
    </row>
    <row r="24" spans="1:6" ht="14.25" x14ac:dyDescent="0.45">
      <c r="A24" s="7" t="s">
        <v>32</v>
      </c>
      <c r="B24" s="11">
        <f>VLOOKUP(A24, Dataset!$A$2:$F$100, 2, FALSE)</f>
        <v>21000</v>
      </c>
      <c r="C24" s="11" t="str">
        <f>VLOOKUP(A24, Dataset!$A$2:$F$100, 3, FALSE)</f>
        <v>Monday</v>
      </c>
      <c r="D24" s="11" t="str">
        <f>VLOOKUP(A24, Dataset!$A$2:$F$100, 3, FALSE)</f>
        <v>Monday</v>
      </c>
      <c r="E24" s="11" t="str">
        <f>VLOOKUP(A24, Dataset!$A$2:$F$100, 3, FALSE)</f>
        <v>Monday</v>
      </c>
      <c r="F24" s="8">
        <f>VLOOKUP(A24, Dataset!$A$2:$F$100, 2, FALSE)</f>
        <v>21000</v>
      </c>
    </row>
    <row r="25" spans="1:6" ht="14.25" x14ac:dyDescent="0.45">
      <c r="A25" s="7" t="s">
        <v>34</v>
      </c>
      <c r="B25" s="11">
        <f>VLOOKUP(A25, Dataset!$A$2:$F$100, 2, FALSE)</f>
        <v>21004</v>
      </c>
      <c r="C25" s="11" t="str">
        <f>VLOOKUP(A25, Dataset!$A$2:$F$100, 3, FALSE)</f>
        <v>Monday</v>
      </c>
      <c r="D25" s="11" t="str">
        <f>VLOOKUP(A25, Dataset!$A$2:$F$100, 3, FALSE)</f>
        <v>Monday</v>
      </c>
      <c r="E25" s="11" t="str">
        <f>VLOOKUP(A25, Dataset!$A$2:$F$100, 3, FALSE)</f>
        <v>Monday</v>
      </c>
      <c r="F25" s="8">
        <f>VLOOKUP(A25, Dataset!$A$2:$F$100, 2, FALSE)</f>
        <v>21004</v>
      </c>
    </row>
    <row r="26" spans="1:6" ht="14.25" x14ac:dyDescent="0.45">
      <c r="A26" s="7" t="s">
        <v>37</v>
      </c>
      <c r="B26" s="11">
        <f>VLOOKUP(A26, Dataset!$A$2:$F$100, 2, FALSE)</f>
        <v>21012</v>
      </c>
      <c r="C26" s="11" t="str">
        <f>VLOOKUP(A26, Dataset!$A$2:$F$100, 3, FALSE)</f>
        <v>Monday</v>
      </c>
      <c r="D26" s="11" t="str">
        <f>VLOOKUP(A26, Dataset!$A$2:$F$100, 3, FALSE)</f>
        <v>Monday</v>
      </c>
      <c r="E26" s="11" t="str">
        <f>VLOOKUP(A26, Dataset!$A$2:$F$100, 3, FALSE)</f>
        <v>Monday</v>
      </c>
      <c r="F26" s="8">
        <f>VLOOKUP(A26, Dataset!$A$2:$F$100, 2, FALSE)</f>
        <v>21012</v>
      </c>
    </row>
    <row r="27" spans="1:6" ht="14.25" x14ac:dyDescent="0.45">
      <c r="A27" s="7" t="s">
        <v>39</v>
      </c>
      <c r="B27" s="11">
        <f>VLOOKUP(A27, Dataset!$A$2:$F$100, 2, FALSE)</f>
        <v>21016</v>
      </c>
      <c r="C27" s="11" t="str">
        <f>VLOOKUP(A27, Dataset!$A$2:$F$100, 3, FALSE)</f>
        <v>Monday</v>
      </c>
      <c r="D27" s="11" t="str">
        <f>VLOOKUP(A27, Dataset!$A$2:$F$100, 3, FALSE)</f>
        <v>Monday</v>
      </c>
      <c r="E27" s="11" t="str">
        <f>VLOOKUP(A27, Dataset!$A$2:$F$100, 3, FALSE)</f>
        <v>Monday</v>
      </c>
      <c r="F27" s="8">
        <f>VLOOKUP(A27, Dataset!$A$2:$F$100, 2, FALSE)</f>
        <v>21016</v>
      </c>
    </row>
    <row r="28" spans="1:6" ht="14.25" x14ac:dyDescent="0.45">
      <c r="A28" s="18" t="s">
        <v>82</v>
      </c>
      <c r="B28" s="11">
        <f>MIN(B6:B27)</f>
        <v>20000</v>
      </c>
      <c r="C28" s="11">
        <f>MIN(C6:C27)</f>
        <v>0</v>
      </c>
      <c r="D28" s="11">
        <v>0</v>
      </c>
      <c r="E28" s="11">
        <v>0</v>
      </c>
      <c r="F28" s="8">
        <f>MIN(F6:F27)</f>
        <v>20000</v>
      </c>
    </row>
    <row r="29" spans="1:6" ht="14.25" x14ac:dyDescent="0.45">
      <c r="A29" s="18" t="s">
        <v>83</v>
      </c>
      <c r="B29" s="11">
        <f>MAX(B6:B27)</f>
        <v>21016</v>
      </c>
      <c r="C29" s="11">
        <f t="shared" ref="C29:C30" si="0">MIN(C7:C28)</f>
        <v>0</v>
      </c>
      <c r="D29" s="11">
        <v>0</v>
      </c>
      <c r="E29" s="11">
        <v>0</v>
      </c>
      <c r="F29" s="8">
        <f>MAX(F6:F27)</f>
        <v>21016</v>
      </c>
    </row>
    <row r="30" spans="1:6" ht="14.25" x14ac:dyDescent="0.45">
      <c r="A30" s="18" t="s">
        <v>84</v>
      </c>
      <c r="B30" s="11">
        <f>AVERAGE(B6:B29)</f>
        <v>20230.25</v>
      </c>
      <c r="C30" s="11">
        <f t="shared" si="0"/>
        <v>0</v>
      </c>
      <c r="D30" s="11">
        <v>0</v>
      </c>
      <c r="E30" s="11">
        <v>0</v>
      </c>
      <c r="F30" s="8">
        <f>AVERAGE(F6:F27)</f>
        <v>20205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6" zoomScaleNormal="100" workbookViewId="0">
      <selection activeCell="I22" sqref="I22"/>
    </sheetView>
  </sheetViews>
  <sheetFormatPr defaultColWidth="11" defaultRowHeight="14.25" x14ac:dyDescent="0.45"/>
  <cols>
    <col min="1" max="1" width="39.78515625" style="1" bestFit="1" customWidth="1"/>
    <col min="2" max="16384" width="11" style="1"/>
  </cols>
  <sheetData>
    <row r="1" spans="1:10" s="39" customFormat="1" ht="21" x14ac:dyDescent="0.65">
      <c r="A1" s="40" t="s">
        <v>56</v>
      </c>
      <c r="B1" s="39" t="s">
        <v>174</v>
      </c>
    </row>
    <row r="2" spans="1:10" customFormat="1" ht="13.15" x14ac:dyDescent="0.4"/>
    <row r="3" spans="1:10" s="2" customFormat="1" x14ac:dyDescent="0.45">
      <c r="B3" s="1"/>
    </row>
    <row r="4" spans="1:10" s="2" customFormat="1" x14ac:dyDescent="0.45">
      <c r="B4" s="1" t="s">
        <v>151</v>
      </c>
    </row>
    <row r="5" spans="1:10" ht="18" x14ac:dyDescent="0.55000000000000004">
      <c r="A5" s="41" t="s">
        <v>53</v>
      </c>
      <c r="B5" s="38"/>
    </row>
    <row r="6" spans="1:10" ht="18" x14ac:dyDescent="0.55000000000000004">
      <c r="A6" s="41" t="s">
        <v>153</v>
      </c>
      <c r="B6" s="38"/>
    </row>
    <row r="7" spans="1:10" ht="18" x14ac:dyDescent="0.55000000000000004">
      <c r="A7" s="41"/>
      <c r="B7" s="38"/>
    </row>
    <row r="9" spans="1:10" ht="23.25" x14ac:dyDescent="0.7">
      <c r="A9" s="17" t="s">
        <v>165</v>
      </c>
      <c r="I9" s="2"/>
      <c r="J9" s="2"/>
    </row>
    <row r="10" spans="1:10" x14ac:dyDescent="0.4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4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7">
      <c r="A14" s="17" t="s">
        <v>162</v>
      </c>
    </row>
    <row r="15" spans="1:10" x14ac:dyDescent="0.4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45">
      <c r="A16" s="7" t="s">
        <v>121</v>
      </c>
      <c r="B16" s="1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RIGHT(A16, LEN(A16) - FIND("@", SUBSTITUTE(A16, "-", "@", 4)))</f>
        <v>24</v>
      </c>
    </row>
    <row r="17" spans="1:6" x14ac:dyDescent="0.45">
      <c r="A17" s="7" t="s">
        <v>122</v>
      </c>
      <c r="B17" s="11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4">RIGHT(A17, LEN(A17) - FIND("@", SUBSTITUTE(A17, "-", "@", 4)))</f>
        <v>24</v>
      </c>
    </row>
    <row r="18" spans="1:6" x14ac:dyDescent="0.4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4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4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4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4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4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4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4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4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4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4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4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4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4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4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4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4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4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4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4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4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4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4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4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4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4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4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4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4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4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4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4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4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4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4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4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4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defaultColWidth="11" defaultRowHeight="13.15" x14ac:dyDescent="0.4"/>
  <cols>
    <col min="1" max="1" width="28.2109375" style="2" bestFit="1" customWidth="1"/>
    <col min="2" max="2" width="17.78515625" style="2" bestFit="1" customWidth="1"/>
    <col min="3" max="3" width="11" style="2" bestFit="1" customWidth="1"/>
    <col min="4" max="4" width="13.2109375" style="2" bestFit="1" customWidth="1"/>
    <col min="5" max="5" width="10.78515625" style="2" bestFit="1" customWidth="1"/>
    <col min="6" max="6" width="13.42578125" style="2" bestFit="1" customWidth="1"/>
    <col min="7" max="8" width="14.5703125" style="2" bestFit="1" customWidth="1"/>
    <col min="9" max="9" width="17.78515625" style="2" bestFit="1" customWidth="1"/>
    <col min="10" max="10" width="11" style="2" bestFit="1" customWidth="1"/>
    <col min="11" max="11" width="9" style="2" bestFit="1" customWidth="1"/>
    <col min="12" max="12" width="10.78515625" style="2" bestFit="1" customWidth="1"/>
    <col min="13" max="13" width="12.42578125" style="2" bestFit="1" customWidth="1"/>
    <col min="14" max="14" width="11" style="2" bestFit="1" customWidth="1"/>
    <col min="15" max="15" width="8" style="2" bestFit="1" customWidth="1"/>
    <col min="16" max="16" width="12.42578125" style="2" bestFit="1" customWidth="1"/>
    <col min="17" max="17" width="12.5703125" style="2" bestFit="1" customWidth="1"/>
    <col min="18" max="18" width="24.2109375" style="2" bestFit="1" customWidth="1"/>
    <col min="19" max="19" width="12.5703125" style="2" bestFit="1" customWidth="1"/>
    <col min="20" max="20" width="16" style="2" bestFit="1" customWidth="1"/>
    <col min="21" max="21" width="9" style="2" bestFit="1" customWidth="1"/>
    <col min="22" max="22" width="10.78515625" style="2" bestFit="1" customWidth="1"/>
    <col min="23" max="24" width="13.42578125" style="2" bestFit="1" customWidth="1"/>
    <col min="25" max="25" width="15" style="2" bestFit="1" customWidth="1"/>
    <col min="26" max="16384" width="11" style="2"/>
  </cols>
  <sheetData>
    <row r="1" spans="1:3" ht="21" x14ac:dyDescent="0.65">
      <c r="A1" s="40" t="s">
        <v>85</v>
      </c>
      <c r="B1" s="39" t="s">
        <v>167</v>
      </c>
    </row>
    <row r="2" spans="1:3" ht="18" x14ac:dyDescent="0.55000000000000004">
      <c r="B2" s="38" t="s">
        <v>166</v>
      </c>
    </row>
    <row r="5" spans="1:3" ht="14.25" x14ac:dyDescent="0.45">
      <c r="B5" s="1" t="s">
        <v>151</v>
      </c>
    </row>
    <row r="6" spans="1:3" ht="14.25" x14ac:dyDescent="0.45">
      <c r="A6" s="3" t="s">
        <v>53</v>
      </c>
      <c r="B6" s="1"/>
    </row>
    <row r="7" spans="1:3" ht="14.25" x14ac:dyDescent="0.45">
      <c r="A7" s="3" t="s">
        <v>153</v>
      </c>
      <c r="B7" s="1"/>
    </row>
    <row r="10" spans="1:3" ht="23.25" x14ac:dyDescent="0.7">
      <c r="A10" s="17" t="s">
        <v>162</v>
      </c>
    </row>
    <row r="11" spans="1:3" ht="14.25" x14ac:dyDescent="0.45">
      <c r="A11" s="30" t="s">
        <v>86</v>
      </c>
      <c r="B11" s="16" t="s">
        <v>87</v>
      </c>
      <c r="C11" s="16" t="s">
        <v>88</v>
      </c>
    </row>
    <row r="12" spans="1:3" ht="14.25" x14ac:dyDescent="0.45">
      <c r="A12" s="30">
        <v>44927</v>
      </c>
      <c r="B12" s="16" t="s">
        <v>59</v>
      </c>
      <c r="C12" s="16">
        <v>200</v>
      </c>
    </row>
    <row r="13" spans="1:3" ht="14.25" x14ac:dyDescent="0.45">
      <c r="A13" s="30">
        <v>44928</v>
      </c>
      <c r="B13" s="16" t="s">
        <v>60</v>
      </c>
      <c r="C13" s="16">
        <v>20</v>
      </c>
    </row>
    <row r="14" spans="1:3" ht="14.25" x14ac:dyDescent="0.45">
      <c r="A14" s="30">
        <v>44929</v>
      </c>
      <c r="B14" s="16" t="s">
        <v>61</v>
      </c>
      <c r="C14" s="16">
        <v>50</v>
      </c>
    </row>
    <row r="15" spans="1:3" ht="14.25" x14ac:dyDescent="0.45">
      <c r="A15" s="30">
        <v>44930</v>
      </c>
      <c r="B15" s="16" t="s">
        <v>62</v>
      </c>
      <c r="C15" s="16">
        <v>20</v>
      </c>
    </row>
    <row r="16" spans="1:3" ht="14.25" x14ac:dyDescent="0.45">
      <c r="A16" s="30">
        <v>44931</v>
      </c>
      <c r="B16" s="16" t="s">
        <v>63</v>
      </c>
      <c r="C16" s="16">
        <v>10</v>
      </c>
    </row>
    <row r="17" spans="1:3" ht="14.25" x14ac:dyDescent="0.45">
      <c r="A17" s="30">
        <v>44932</v>
      </c>
      <c r="B17" s="16" t="s">
        <v>154</v>
      </c>
      <c r="C17" s="16">
        <v>150</v>
      </c>
    </row>
    <row r="18" spans="1:3" ht="14.25" x14ac:dyDescent="0.45">
      <c r="A18" s="30">
        <v>44933</v>
      </c>
      <c r="B18" s="16" t="s">
        <v>155</v>
      </c>
      <c r="C18" s="16">
        <v>80</v>
      </c>
    </row>
    <row r="19" spans="1:3" ht="14.25" x14ac:dyDescent="0.45">
      <c r="A19" s="30">
        <v>44934</v>
      </c>
      <c r="B19" s="16" t="s">
        <v>156</v>
      </c>
      <c r="C19" s="16">
        <v>20</v>
      </c>
    </row>
    <row r="20" spans="1:3" ht="14.25" x14ac:dyDescent="0.45">
      <c r="A20" s="30">
        <v>44935</v>
      </c>
      <c r="B20" s="16" t="s">
        <v>157</v>
      </c>
      <c r="C20" s="16">
        <v>30</v>
      </c>
    </row>
    <row r="21" spans="1:3" ht="14.25" x14ac:dyDescent="0.45">
      <c r="A21" s="30">
        <v>44936</v>
      </c>
      <c r="B21" s="16" t="s">
        <v>158</v>
      </c>
      <c r="C21" s="16">
        <v>20</v>
      </c>
    </row>
    <row r="22" spans="1:3" ht="14.25" x14ac:dyDescent="0.4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3" zoomScaleNormal="100" workbookViewId="0">
      <selection activeCell="M28" sqref="M28"/>
    </sheetView>
  </sheetViews>
  <sheetFormatPr defaultColWidth="11" defaultRowHeight="13.15" x14ac:dyDescent="0.4"/>
  <cols>
    <col min="1" max="1" width="28.2109375" style="2" bestFit="1" customWidth="1"/>
    <col min="2" max="16384" width="11" style="2"/>
  </cols>
  <sheetData>
    <row r="1" spans="1:14" ht="21" x14ac:dyDescent="0.65">
      <c r="A1" s="40" t="s">
        <v>98</v>
      </c>
      <c r="B1" s="39" t="s">
        <v>175</v>
      </c>
    </row>
    <row r="3" spans="1:14" ht="14.25" x14ac:dyDescent="0.45">
      <c r="B3" s="1" t="s">
        <v>151</v>
      </c>
    </row>
    <row r="4" spans="1:14" ht="18" x14ac:dyDescent="0.55000000000000004">
      <c r="A4" s="41" t="s">
        <v>53</v>
      </c>
      <c r="B4" s="1"/>
    </row>
    <row r="5" spans="1:14" ht="18" x14ac:dyDescent="0.55000000000000004">
      <c r="A5" s="41" t="s">
        <v>153</v>
      </c>
      <c r="B5" s="1"/>
    </row>
    <row r="6" spans="1:14" ht="14.25" x14ac:dyDescent="0.45">
      <c r="A6" s="3"/>
      <c r="B6" s="1"/>
    </row>
    <row r="8" spans="1:14" ht="23.25" x14ac:dyDescent="0.7">
      <c r="A8" s="17" t="s">
        <v>162</v>
      </c>
      <c r="M8" s="17" t="s">
        <v>163</v>
      </c>
    </row>
    <row r="9" spans="1:14" ht="14.25" x14ac:dyDescent="0.4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25" x14ac:dyDescent="0.4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25" x14ac:dyDescent="0.4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25" x14ac:dyDescent="0.4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25" x14ac:dyDescent="0.4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25" x14ac:dyDescent="0.4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25" x14ac:dyDescent="0.4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25" x14ac:dyDescent="0.4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25" x14ac:dyDescent="0.4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25" x14ac:dyDescent="0.4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7">
      <c r="A21" s="17" t="s">
        <v>168</v>
      </c>
    </row>
    <row r="22" spans="1:14" ht="14.25" x14ac:dyDescent="0.45">
      <c r="A22" s="13" t="s">
        <v>100</v>
      </c>
      <c r="B22" s="16" t="s">
        <v>101</v>
      </c>
      <c r="C22" s="15" t="s">
        <v>102</v>
      </c>
    </row>
    <row r="23" spans="1:14" ht="14.25" x14ac:dyDescent="0.45">
      <c r="A23" s="7">
        <v>10100</v>
      </c>
      <c r="B23" s="11">
        <v>10102</v>
      </c>
      <c r="C23" s="42"/>
    </row>
    <row r="24" spans="1:14" ht="14.25" x14ac:dyDescent="0.45">
      <c r="A24" s="7">
        <v>10100</v>
      </c>
      <c r="B24" s="11">
        <v>10104</v>
      </c>
      <c r="C24" s="42"/>
    </row>
    <row r="25" spans="1:14" ht="14.25" x14ac:dyDescent="0.45">
      <c r="A25" s="7">
        <v>10108</v>
      </c>
      <c r="B25" s="11">
        <v>10102</v>
      </c>
      <c r="C25" s="42"/>
    </row>
    <row r="26" spans="1:14" ht="14.25" x14ac:dyDescent="0.45">
      <c r="A26" s="7">
        <v>10100</v>
      </c>
      <c r="B26" s="11">
        <v>10106</v>
      </c>
      <c r="C26" s="42"/>
    </row>
    <row r="27" spans="1:14" ht="14.25" x14ac:dyDescent="0.45">
      <c r="A27" s="7">
        <v>10108</v>
      </c>
      <c r="B27" s="11">
        <v>10110</v>
      </c>
      <c r="C27" s="42"/>
    </row>
    <row r="28" spans="1:14" ht="14.25" x14ac:dyDescent="0.45">
      <c r="A28" s="7">
        <v>10102</v>
      </c>
      <c r="B28" s="11">
        <v>10104</v>
      </c>
      <c r="C28" s="42"/>
    </row>
    <row r="29" spans="1:14" ht="14.25" x14ac:dyDescent="0.45">
      <c r="A29" s="7">
        <v>10106</v>
      </c>
      <c r="B29" s="11">
        <v>10108</v>
      </c>
      <c r="C29" s="42"/>
    </row>
    <row r="30" spans="1:14" ht="14.25" x14ac:dyDescent="0.45">
      <c r="A30" s="7">
        <v>10102</v>
      </c>
      <c r="B30" s="11">
        <v>10106</v>
      </c>
      <c r="C30" s="42"/>
    </row>
    <row r="31" spans="1:14" ht="14.25" x14ac:dyDescent="0.45">
      <c r="A31" s="7">
        <v>10110</v>
      </c>
      <c r="B31" s="11">
        <v>10114</v>
      </c>
      <c r="C31" s="42"/>
    </row>
    <row r="32" spans="1:14" ht="14.25" x14ac:dyDescent="0.45">
      <c r="A32" s="7">
        <v>10104</v>
      </c>
      <c r="B32" s="11">
        <v>10106</v>
      </c>
      <c r="C32" s="42"/>
    </row>
    <row r="33" spans="1:3" ht="14.25" x14ac:dyDescent="0.45">
      <c r="A33" s="7">
        <v>10110</v>
      </c>
      <c r="B33" s="11">
        <v>10112</v>
      </c>
      <c r="C33" s="42"/>
    </row>
    <row r="34" spans="1:3" ht="14.25" x14ac:dyDescent="0.45">
      <c r="A34" s="7">
        <v>10100</v>
      </c>
      <c r="B34" s="11">
        <v>10114</v>
      </c>
      <c r="C34" s="42"/>
    </row>
    <row r="35" spans="1:3" ht="14.25" x14ac:dyDescent="0.45">
      <c r="A35" s="9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shree siktsha</cp:lastModifiedBy>
  <dcterms:created xsi:type="dcterms:W3CDTF">2015-02-10T17:33:11Z</dcterms:created>
  <dcterms:modified xsi:type="dcterms:W3CDTF">2024-10-24T10:26:07Z</dcterms:modified>
</cp:coreProperties>
</file>